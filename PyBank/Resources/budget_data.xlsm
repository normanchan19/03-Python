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589a7ec102de5bb/Desktop/usc-virt-data-pt-03-2021-u-c/03-Python/Homework/PyBank/Resources/"/>
    </mc:Choice>
  </mc:AlternateContent>
  <xr:revisionPtr revIDLastSave="0" documentId="8_{3198F60E-DAFC-4FDC-96A7-7DD1F708B74B}" xr6:coauthVersionLast="46" xr6:coauthVersionMax="46" xr10:uidLastSave="{00000000-0000-0000-0000-000000000000}"/>
  <bookViews>
    <workbookView xWindow="-108" yWindow="-108" windowWidth="23256" windowHeight="12576"/>
  </bookViews>
  <sheets>
    <sheet name="budget_data" sheetId="1" r:id="rId1"/>
  </sheets>
  <calcPr calcId="0"/>
</workbook>
</file>

<file path=xl/calcChain.xml><?xml version="1.0" encoding="utf-8"?>
<calcChain xmlns="http://schemas.openxmlformats.org/spreadsheetml/2006/main">
  <c r="G6" i="1" l="1" a="1"/>
  <c r="G6" i="1" s="1"/>
  <c r="G5" i="1" a="1"/>
  <c r="G5" i="1" s="1"/>
  <c r="H6" i="1"/>
  <c r="H5" i="1"/>
  <c r="G4" i="1"/>
  <c r="G3" i="1"/>
  <c r="G2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<sst xmlns="http://schemas.openxmlformats.org/spreadsheetml/2006/main" count="8" uniqueCount="8">
  <si>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Date</t>
  </si>
  <si>
    <t>Profit/Losses</t>
  </si>
  <si>
    <t>Change in Profit/Losses</t>
  </si>
  <si>
    <t>Total Months</t>
  </si>
  <si>
    <t>Net Total Profit/Losses</t>
  </si>
  <si>
    <t>Average Profit/Losses</t>
  </si>
  <si>
    <t>Greatest Increase In Profit</t>
  </si>
  <si>
    <t>Greatest Decrease In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</si>
</sst>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7" formatCode="[$-409]d\-mmm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6" fontId="0" fillId="0" borderId="0" xfId="0" applyNumberFormat="1"/>
    <xf numFmtId="8" fontId="0" fillId="0" borderId="0" xfId="0" applyNumberFormat="1"/>
    <xf numFmtId="44" fontId="0" fillId="0" borderId="0" xfId="1" applyFont="1"/>
    <xf numFmtId="167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"/>
  <sheetViews>
    <sheetView tabSelected="1" workbookViewId="0"/>
  </sheetViews>
  <sheetFormatPr defaultRowHeight="14.4" x14ac:dyDescent="0.3"/>
  <cols>
    <col min="7" max="7" width="14.6640625" bestFit="1" customWidth="1"/>
    <col min="8" max="8" width="14.21875" bestFit="1" customWidth="1"/>
  </cols>
  <sheetData>
    <row r="1" spans="1:8" x14ac:dyDescent="0.3">
      <c r="A1" t="s">
        <v>0</v>
      </c>
      <c r="B1" t="s">
        <v>1</v>
      </c>
      <c r="D1" t="s">
        <v>2</v>
      </c>
    </row>
    <row r="2" spans="1:8" x14ac:dyDescent="0.3">
      <c r="A2" s="1">
        <v>44206</v>
      </c>
      <c r="B2">
        <v>867884</v>
      </c>
      <c r="D2">
        <v>0</v>
      </c>
      <c r="F2" t="s">
        <v>3</v>
      </c>
      <c r="G2">
        <f>COUNT(A2:A87)</f>
        <v>86</v>
      </c>
    </row>
    <row r="3" spans="1:8" x14ac:dyDescent="0.3">
      <c r="A3" s="1">
        <v>44237</v>
      </c>
      <c r="B3">
        <v>984655</v>
      </c>
      <c r="D3">
        <f>B3-B2</f>
        <v>116771</v>
      </c>
      <c r="F3" t="s">
        <v>4</v>
      </c>
      <c r="G3" s="3">
        <f>SUM(B2:B87)</f>
        <v>38382578</v>
      </c>
    </row>
    <row r="4" spans="1:8" x14ac:dyDescent="0.3">
      <c r="A4" s="1">
        <v>44265</v>
      </c>
      <c r="B4">
        <v>322013</v>
      </c>
      <c r="D4">
        <f t="shared" ref="D4:D67" si="0">B4-B3</f>
        <v>-662642</v>
      </c>
      <c r="F4" t="s">
        <v>5</v>
      </c>
      <c r="G4" s="3">
        <f>AVERAGE(D3:D87)</f>
        <v>-2315.1176470588234</v>
      </c>
      <c r="H4" s="2"/>
    </row>
    <row r="5" spans="1:8" x14ac:dyDescent="0.3">
      <c r="A5" s="1">
        <v>44296</v>
      </c>
      <c r="B5">
        <v>-69417</v>
      </c>
      <c r="D5">
        <f t="shared" si="0"/>
        <v>-391430</v>
      </c>
      <c r="F5" t="s">
        <v>6</v>
      </c>
      <c r="G5" s="4" cm="1">
        <f t="array" ref="G5">INDEX($A$2:$A$87,MATCH(H5,$D$3:$D$87,0)+1)</f>
        <v>44239</v>
      </c>
      <c r="H5" s="3">
        <f>MAX(D3:D87)</f>
        <v>1926159</v>
      </c>
    </row>
    <row r="6" spans="1:8" x14ac:dyDescent="0.3">
      <c r="A6" s="1">
        <v>44326</v>
      </c>
      <c r="B6">
        <v>310503</v>
      </c>
      <c r="D6">
        <f t="shared" si="0"/>
        <v>379920</v>
      </c>
      <c r="F6" t="s">
        <v>7</v>
      </c>
      <c r="G6" s="4" cm="1">
        <f t="array" ref="G6">INDEX($A$2:$A$87,MATCH(H6,$D$3:$D$87,0)+1)</f>
        <v>44452</v>
      </c>
      <c r="H6" s="3">
        <f>MIN(D3:D87)</f>
        <v>-2196167</v>
      </c>
    </row>
    <row r="7" spans="1:8" x14ac:dyDescent="0.3">
      <c r="A7" s="1">
        <v>44357</v>
      </c>
      <c r="B7">
        <v>522857</v>
      </c>
      <c r="D7">
        <f t="shared" si="0"/>
        <v>212354</v>
      </c>
    </row>
    <row r="8" spans="1:8" x14ac:dyDescent="0.3">
      <c r="A8" s="1">
        <v>44387</v>
      </c>
      <c r="B8">
        <v>1033096</v>
      </c>
      <c r="D8">
        <f t="shared" si="0"/>
        <v>510239</v>
      </c>
    </row>
    <row r="9" spans="1:8" x14ac:dyDescent="0.3">
      <c r="A9" s="1">
        <v>44418</v>
      </c>
      <c r="B9">
        <v>604885</v>
      </c>
      <c r="D9">
        <f t="shared" si="0"/>
        <v>-428211</v>
      </c>
    </row>
    <row r="10" spans="1:8" x14ac:dyDescent="0.3">
      <c r="A10" s="1">
        <v>44449</v>
      </c>
      <c r="B10">
        <v>-216386</v>
      </c>
      <c r="D10">
        <f t="shared" si="0"/>
        <v>-821271</v>
      </c>
    </row>
    <row r="11" spans="1:8" x14ac:dyDescent="0.3">
      <c r="A11" s="1">
        <v>44479</v>
      </c>
      <c r="B11">
        <v>477532</v>
      </c>
      <c r="D11">
        <f t="shared" si="0"/>
        <v>693918</v>
      </c>
    </row>
    <row r="12" spans="1:8" x14ac:dyDescent="0.3">
      <c r="A12" s="1">
        <v>44510</v>
      </c>
      <c r="B12">
        <v>893810</v>
      </c>
      <c r="D12">
        <f t="shared" si="0"/>
        <v>416278</v>
      </c>
    </row>
    <row r="13" spans="1:8" x14ac:dyDescent="0.3">
      <c r="A13" s="1">
        <v>44540</v>
      </c>
      <c r="B13">
        <v>-80353</v>
      </c>
      <c r="D13">
        <f t="shared" si="0"/>
        <v>-974163</v>
      </c>
    </row>
    <row r="14" spans="1:8" x14ac:dyDescent="0.3">
      <c r="A14" s="1">
        <v>44207</v>
      </c>
      <c r="B14">
        <v>779806</v>
      </c>
      <c r="D14">
        <f t="shared" si="0"/>
        <v>860159</v>
      </c>
    </row>
    <row r="15" spans="1:8" x14ac:dyDescent="0.3">
      <c r="A15" s="1">
        <v>44238</v>
      </c>
      <c r="B15">
        <v>-335203</v>
      </c>
      <c r="D15">
        <f t="shared" si="0"/>
        <v>-1115009</v>
      </c>
    </row>
    <row r="16" spans="1:8" x14ac:dyDescent="0.3">
      <c r="A16" s="1">
        <v>44266</v>
      </c>
      <c r="B16">
        <v>697845</v>
      </c>
      <c r="D16">
        <f t="shared" si="0"/>
        <v>1033048</v>
      </c>
    </row>
    <row r="17" spans="1:4" x14ac:dyDescent="0.3">
      <c r="A17" s="1">
        <v>44297</v>
      </c>
      <c r="B17">
        <v>793163</v>
      </c>
      <c r="D17">
        <f t="shared" si="0"/>
        <v>95318</v>
      </c>
    </row>
    <row r="18" spans="1:4" x14ac:dyDescent="0.3">
      <c r="A18" s="1">
        <v>44327</v>
      </c>
      <c r="B18">
        <v>485070</v>
      </c>
      <c r="D18">
        <f t="shared" si="0"/>
        <v>-308093</v>
      </c>
    </row>
    <row r="19" spans="1:4" x14ac:dyDescent="0.3">
      <c r="A19" s="1">
        <v>44358</v>
      </c>
      <c r="B19">
        <v>584122</v>
      </c>
      <c r="D19">
        <f t="shared" si="0"/>
        <v>99052</v>
      </c>
    </row>
    <row r="20" spans="1:4" x14ac:dyDescent="0.3">
      <c r="A20" s="1">
        <v>44388</v>
      </c>
      <c r="B20">
        <v>62729</v>
      </c>
      <c r="D20">
        <f t="shared" si="0"/>
        <v>-521393</v>
      </c>
    </row>
    <row r="21" spans="1:4" x14ac:dyDescent="0.3">
      <c r="A21" s="1">
        <v>44419</v>
      </c>
      <c r="B21">
        <v>668179</v>
      </c>
      <c r="D21">
        <f t="shared" si="0"/>
        <v>605450</v>
      </c>
    </row>
    <row r="22" spans="1:4" x14ac:dyDescent="0.3">
      <c r="A22" s="1">
        <v>44450</v>
      </c>
      <c r="B22">
        <v>899906</v>
      </c>
      <c r="D22">
        <f t="shared" si="0"/>
        <v>231727</v>
      </c>
    </row>
    <row r="23" spans="1:4" x14ac:dyDescent="0.3">
      <c r="A23" s="1">
        <v>44480</v>
      </c>
      <c r="B23">
        <v>834719</v>
      </c>
      <c r="D23">
        <f t="shared" si="0"/>
        <v>-65187</v>
      </c>
    </row>
    <row r="24" spans="1:4" x14ac:dyDescent="0.3">
      <c r="A24" s="1">
        <v>44511</v>
      </c>
      <c r="B24">
        <v>132003</v>
      </c>
      <c r="D24">
        <f t="shared" si="0"/>
        <v>-702716</v>
      </c>
    </row>
    <row r="25" spans="1:4" x14ac:dyDescent="0.3">
      <c r="A25" s="1">
        <v>44541</v>
      </c>
      <c r="B25">
        <v>309978</v>
      </c>
      <c r="D25">
        <f t="shared" si="0"/>
        <v>177975</v>
      </c>
    </row>
    <row r="26" spans="1:4" x14ac:dyDescent="0.3">
      <c r="A26" s="1">
        <v>44208</v>
      </c>
      <c r="B26">
        <v>-755566</v>
      </c>
      <c r="D26">
        <f t="shared" si="0"/>
        <v>-1065544</v>
      </c>
    </row>
    <row r="27" spans="1:4" x14ac:dyDescent="0.3">
      <c r="A27" s="1">
        <v>44239</v>
      </c>
      <c r="B27">
        <v>1170593</v>
      </c>
      <c r="D27">
        <f t="shared" si="0"/>
        <v>1926159</v>
      </c>
    </row>
    <row r="28" spans="1:4" x14ac:dyDescent="0.3">
      <c r="A28" s="1">
        <v>44267</v>
      </c>
      <c r="B28">
        <v>252788</v>
      </c>
      <c r="D28">
        <f t="shared" si="0"/>
        <v>-917805</v>
      </c>
    </row>
    <row r="29" spans="1:4" x14ac:dyDescent="0.3">
      <c r="A29" s="1">
        <v>44298</v>
      </c>
      <c r="B29">
        <v>1151518</v>
      </c>
      <c r="D29">
        <f t="shared" si="0"/>
        <v>898730</v>
      </c>
    </row>
    <row r="30" spans="1:4" x14ac:dyDescent="0.3">
      <c r="A30" s="1">
        <v>44328</v>
      </c>
      <c r="B30">
        <v>817256</v>
      </c>
      <c r="D30">
        <f t="shared" si="0"/>
        <v>-334262</v>
      </c>
    </row>
    <row r="31" spans="1:4" x14ac:dyDescent="0.3">
      <c r="A31" s="1">
        <v>44359</v>
      </c>
      <c r="B31">
        <v>570757</v>
      </c>
      <c r="D31">
        <f t="shared" si="0"/>
        <v>-246499</v>
      </c>
    </row>
    <row r="32" spans="1:4" x14ac:dyDescent="0.3">
      <c r="A32" s="1">
        <v>44389</v>
      </c>
      <c r="B32">
        <v>506702</v>
      </c>
      <c r="D32">
        <f t="shared" si="0"/>
        <v>-64055</v>
      </c>
    </row>
    <row r="33" spans="1:4" x14ac:dyDescent="0.3">
      <c r="A33" s="1">
        <v>44420</v>
      </c>
      <c r="B33">
        <v>-1022534</v>
      </c>
      <c r="D33">
        <f t="shared" si="0"/>
        <v>-1529236</v>
      </c>
    </row>
    <row r="34" spans="1:4" x14ac:dyDescent="0.3">
      <c r="A34" s="1">
        <v>44451</v>
      </c>
      <c r="B34">
        <v>475062</v>
      </c>
      <c r="D34">
        <f t="shared" si="0"/>
        <v>1497596</v>
      </c>
    </row>
    <row r="35" spans="1:4" x14ac:dyDescent="0.3">
      <c r="A35" s="1">
        <v>44481</v>
      </c>
      <c r="B35">
        <v>779976</v>
      </c>
      <c r="D35">
        <f t="shared" si="0"/>
        <v>304914</v>
      </c>
    </row>
    <row r="36" spans="1:4" x14ac:dyDescent="0.3">
      <c r="A36" s="1">
        <v>44512</v>
      </c>
      <c r="B36">
        <v>144175</v>
      </c>
      <c r="D36">
        <f t="shared" si="0"/>
        <v>-635801</v>
      </c>
    </row>
    <row r="37" spans="1:4" x14ac:dyDescent="0.3">
      <c r="A37" s="1">
        <v>44542</v>
      </c>
      <c r="B37">
        <v>542494</v>
      </c>
      <c r="D37">
        <f t="shared" si="0"/>
        <v>398319</v>
      </c>
    </row>
    <row r="38" spans="1:4" x14ac:dyDescent="0.3">
      <c r="A38" s="1">
        <v>44209</v>
      </c>
      <c r="B38">
        <v>359333</v>
      </c>
      <c r="D38">
        <f t="shared" si="0"/>
        <v>-183161</v>
      </c>
    </row>
    <row r="39" spans="1:4" x14ac:dyDescent="0.3">
      <c r="A39" s="1">
        <v>44240</v>
      </c>
      <c r="B39">
        <v>321469</v>
      </c>
      <c r="D39">
        <f t="shared" si="0"/>
        <v>-37864</v>
      </c>
    </row>
    <row r="40" spans="1:4" x14ac:dyDescent="0.3">
      <c r="A40" s="1">
        <v>44268</v>
      </c>
      <c r="B40">
        <v>67780</v>
      </c>
      <c r="D40">
        <f t="shared" si="0"/>
        <v>-253689</v>
      </c>
    </row>
    <row r="41" spans="1:4" x14ac:dyDescent="0.3">
      <c r="A41" s="1">
        <v>44299</v>
      </c>
      <c r="B41">
        <v>471435</v>
      </c>
      <c r="D41">
        <f t="shared" si="0"/>
        <v>403655</v>
      </c>
    </row>
    <row r="42" spans="1:4" x14ac:dyDescent="0.3">
      <c r="A42" s="1">
        <v>44329</v>
      </c>
      <c r="B42">
        <v>565603</v>
      </c>
      <c r="D42">
        <f t="shared" si="0"/>
        <v>94168</v>
      </c>
    </row>
    <row r="43" spans="1:4" x14ac:dyDescent="0.3">
      <c r="A43" s="1">
        <v>44360</v>
      </c>
      <c r="B43">
        <v>872480</v>
      </c>
      <c r="D43">
        <f t="shared" si="0"/>
        <v>306877</v>
      </c>
    </row>
    <row r="44" spans="1:4" x14ac:dyDescent="0.3">
      <c r="A44" s="1">
        <v>44390</v>
      </c>
      <c r="B44">
        <v>789480</v>
      </c>
      <c r="D44">
        <f t="shared" si="0"/>
        <v>-83000</v>
      </c>
    </row>
    <row r="45" spans="1:4" x14ac:dyDescent="0.3">
      <c r="A45" s="1">
        <v>44421</v>
      </c>
      <c r="B45">
        <v>999942</v>
      </c>
      <c r="D45">
        <f t="shared" si="0"/>
        <v>210462</v>
      </c>
    </row>
    <row r="46" spans="1:4" x14ac:dyDescent="0.3">
      <c r="A46" s="1">
        <v>44452</v>
      </c>
      <c r="B46">
        <v>-1196225</v>
      </c>
      <c r="D46">
        <f t="shared" si="0"/>
        <v>-2196167</v>
      </c>
    </row>
    <row r="47" spans="1:4" x14ac:dyDescent="0.3">
      <c r="A47" s="1">
        <v>44482</v>
      </c>
      <c r="B47">
        <v>268997</v>
      </c>
      <c r="D47">
        <f t="shared" si="0"/>
        <v>1465222</v>
      </c>
    </row>
    <row r="48" spans="1:4" x14ac:dyDescent="0.3">
      <c r="A48" s="1">
        <v>44513</v>
      </c>
      <c r="B48">
        <v>-687986</v>
      </c>
      <c r="D48">
        <f t="shared" si="0"/>
        <v>-956983</v>
      </c>
    </row>
    <row r="49" spans="1:4" x14ac:dyDescent="0.3">
      <c r="A49" s="1">
        <v>44543</v>
      </c>
      <c r="B49">
        <v>1150461</v>
      </c>
      <c r="D49">
        <f t="shared" si="0"/>
        <v>1838447</v>
      </c>
    </row>
    <row r="50" spans="1:4" x14ac:dyDescent="0.3">
      <c r="A50" s="1">
        <v>44210</v>
      </c>
      <c r="B50">
        <v>682458</v>
      </c>
      <c r="D50">
        <f t="shared" si="0"/>
        <v>-468003</v>
      </c>
    </row>
    <row r="51" spans="1:4" x14ac:dyDescent="0.3">
      <c r="A51" s="1">
        <v>44241</v>
      </c>
      <c r="B51">
        <v>617856</v>
      </c>
      <c r="D51">
        <f t="shared" si="0"/>
        <v>-64602</v>
      </c>
    </row>
    <row r="52" spans="1:4" x14ac:dyDescent="0.3">
      <c r="A52" s="1">
        <v>44269</v>
      </c>
      <c r="B52">
        <v>824098</v>
      </c>
      <c r="D52">
        <f t="shared" si="0"/>
        <v>206242</v>
      </c>
    </row>
    <row r="53" spans="1:4" x14ac:dyDescent="0.3">
      <c r="A53" s="1">
        <v>44300</v>
      </c>
      <c r="B53">
        <v>581943</v>
      </c>
      <c r="D53">
        <f t="shared" si="0"/>
        <v>-242155</v>
      </c>
    </row>
    <row r="54" spans="1:4" x14ac:dyDescent="0.3">
      <c r="A54" s="1">
        <v>44330</v>
      </c>
      <c r="B54">
        <v>132864</v>
      </c>
      <c r="D54">
        <f t="shared" si="0"/>
        <v>-449079</v>
      </c>
    </row>
    <row r="55" spans="1:4" x14ac:dyDescent="0.3">
      <c r="A55" s="1">
        <v>44361</v>
      </c>
      <c r="B55">
        <v>448062</v>
      </c>
      <c r="D55">
        <f t="shared" si="0"/>
        <v>315198</v>
      </c>
    </row>
    <row r="56" spans="1:4" x14ac:dyDescent="0.3">
      <c r="A56" s="1">
        <v>44391</v>
      </c>
      <c r="B56">
        <v>689161</v>
      </c>
      <c r="D56">
        <f t="shared" si="0"/>
        <v>241099</v>
      </c>
    </row>
    <row r="57" spans="1:4" x14ac:dyDescent="0.3">
      <c r="A57" s="1">
        <v>44422</v>
      </c>
      <c r="B57">
        <v>800701</v>
      </c>
      <c r="D57">
        <f t="shared" si="0"/>
        <v>111540</v>
      </c>
    </row>
    <row r="58" spans="1:4" x14ac:dyDescent="0.3">
      <c r="A58" s="1">
        <v>44453</v>
      </c>
      <c r="B58">
        <v>1166643</v>
      </c>
      <c r="D58">
        <f t="shared" si="0"/>
        <v>365942</v>
      </c>
    </row>
    <row r="59" spans="1:4" x14ac:dyDescent="0.3">
      <c r="A59" s="1">
        <v>44483</v>
      </c>
      <c r="B59">
        <v>947333</v>
      </c>
      <c r="D59">
        <f t="shared" si="0"/>
        <v>-219310</v>
      </c>
    </row>
    <row r="60" spans="1:4" x14ac:dyDescent="0.3">
      <c r="A60" s="1">
        <v>44514</v>
      </c>
      <c r="B60">
        <v>578668</v>
      </c>
      <c r="D60">
        <f t="shared" si="0"/>
        <v>-368665</v>
      </c>
    </row>
    <row r="61" spans="1:4" x14ac:dyDescent="0.3">
      <c r="A61" s="1">
        <v>44544</v>
      </c>
      <c r="B61">
        <v>988505</v>
      </c>
      <c r="D61">
        <f t="shared" si="0"/>
        <v>409837</v>
      </c>
    </row>
    <row r="62" spans="1:4" x14ac:dyDescent="0.3">
      <c r="A62" s="1">
        <v>44211</v>
      </c>
      <c r="B62">
        <v>1139715</v>
      </c>
      <c r="D62">
        <f t="shared" si="0"/>
        <v>151210</v>
      </c>
    </row>
    <row r="63" spans="1:4" x14ac:dyDescent="0.3">
      <c r="A63" s="1">
        <v>44242</v>
      </c>
      <c r="B63">
        <v>1029471</v>
      </c>
      <c r="D63">
        <f t="shared" si="0"/>
        <v>-110244</v>
      </c>
    </row>
    <row r="64" spans="1:4" x14ac:dyDescent="0.3">
      <c r="A64" s="1">
        <v>44270</v>
      </c>
      <c r="B64">
        <v>687533</v>
      </c>
      <c r="D64">
        <f t="shared" si="0"/>
        <v>-341938</v>
      </c>
    </row>
    <row r="65" spans="1:4" x14ac:dyDescent="0.3">
      <c r="A65" s="1">
        <v>44301</v>
      </c>
      <c r="B65">
        <v>-524626</v>
      </c>
      <c r="D65">
        <f t="shared" si="0"/>
        <v>-1212159</v>
      </c>
    </row>
    <row r="66" spans="1:4" x14ac:dyDescent="0.3">
      <c r="A66" s="1">
        <v>44331</v>
      </c>
      <c r="B66">
        <v>158620</v>
      </c>
      <c r="D66">
        <f t="shared" si="0"/>
        <v>683246</v>
      </c>
    </row>
    <row r="67" spans="1:4" x14ac:dyDescent="0.3">
      <c r="A67" s="1">
        <v>44362</v>
      </c>
      <c r="B67">
        <v>87795</v>
      </c>
      <c r="D67">
        <f t="shared" si="0"/>
        <v>-70825</v>
      </c>
    </row>
    <row r="68" spans="1:4" x14ac:dyDescent="0.3">
      <c r="A68" s="1">
        <v>44392</v>
      </c>
      <c r="B68">
        <v>423389</v>
      </c>
      <c r="D68">
        <f t="shared" ref="D68:D87" si="1">B68-B67</f>
        <v>335594</v>
      </c>
    </row>
    <row r="69" spans="1:4" x14ac:dyDescent="0.3">
      <c r="A69" s="1">
        <v>44423</v>
      </c>
      <c r="B69">
        <v>840723</v>
      </c>
      <c r="D69">
        <f t="shared" si="1"/>
        <v>417334</v>
      </c>
    </row>
    <row r="70" spans="1:4" x14ac:dyDescent="0.3">
      <c r="A70" s="1">
        <v>44454</v>
      </c>
      <c r="B70">
        <v>568529</v>
      </c>
      <c r="D70">
        <f t="shared" si="1"/>
        <v>-272194</v>
      </c>
    </row>
    <row r="71" spans="1:4" x14ac:dyDescent="0.3">
      <c r="A71" s="1">
        <v>44484</v>
      </c>
      <c r="B71">
        <v>332067</v>
      </c>
      <c r="D71">
        <f t="shared" si="1"/>
        <v>-236462</v>
      </c>
    </row>
    <row r="72" spans="1:4" x14ac:dyDescent="0.3">
      <c r="A72" s="1">
        <v>44515</v>
      </c>
      <c r="B72">
        <v>989499</v>
      </c>
      <c r="D72">
        <f t="shared" si="1"/>
        <v>657432</v>
      </c>
    </row>
    <row r="73" spans="1:4" x14ac:dyDescent="0.3">
      <c r="A73" s="1">
        <v>44545</v>
      </c>
      <c r="B73">
        <v>778237</v>
      </c>
      <c r="D73">
        <f t="shared" si="1"/>
        <v>-211262</v>
      </c>
    </row>
    <row r="74" spans="1:4" x14ac:dyDescent="0.3">
      <c r="A74" s="1">
        <v>44212</v>
      </c>
      <c r="B74">
        <v>650000</v>
      </c>
      <c r="D74">
        <f t="shared" si="1"/>
        <v>-128237</v>
      </c>
    </row>
    <row r="75" spans="1:4" x14ac:dyDescent="0.3">
      <c r="A75" s="1">
        <v>44243</v>
      </c>
      <c r="B75">
        <v>-1100387</v>
      </c>
      <c r="D75">
        <f t="shared" si="1"/>
        <v>-1750387</v>
      </c>
    </row>
    <row r="76" spans="1:4" x14ac:dyDescent="0.3">
      <c r="A76" s="1">
        <v>44271</v>
      </c>
      <c r="B76">
        <v>-174946</v>
      </c>
      <c r="D76">
        <f t="shared" si="1"/>
        <v>925441</v>
      </c>
    </row>
    <row r="77" spans="1:4" x14ac:dyDescent="0.3">
      <c r="A77" s="1">
        <v>44302</v>
      </c>
      <c r="B77">
        <v>757143</v>
      </c>
      <c r="D77">
        <f t="shared" si="1"/>
        <v>932089</v>
      </c>
    </row>
    <row r="78" spans="1:4" x14ac:dyDescent="0.3">
      <c r="A78" s="1">
        <v>44332</v>
      </c>
      <c r="B78">
        <v>445709</v>
      </c>
      <c r="D78">
        <f t="shared" si="1"/>
        <v>-311434</v>
      </c>
    </row>
    <row r="79" spans="1:4" x14ac:dyDescent="0.3">
      <c r="A79" s="1">
        <v>44363</v>
      </c>
      <c r="B79">
        <v>712961</v>
      </c>
      <c r="D79">
        <f t="shared" si="1"/>
        <v>267252</v>
      </c>
    </row>
    <row r="80" spans="1:4" x14ac:dyDescent="0.3">
      <c r="A80" s="1">
        <v>44393</v>
      </c>
      <c r="B80">
        <v>-1163797</v>
      </c>
      <c r="D80">
        <f t="shared" si="1"/>
        <v>-1876758</v>
      </c>
    </row>
    <row r="81" spans="1:4" x14ac:dyDescent="0.3">
      <c r="A81" s="1">
        <v>44424</v>
      </c>
      <c r="B81">
        <v>569899</v>
      </c>
      <c r="D81">
        <f t="shared" si="1"/>
        <v>1733696</v>
      </c>
    </row>
    <row r="82" spans="1:4" x14ac:dyDescent="0.3">
      <c r="A82" s="1">
        <v>44455</v>
      </c>
      <c r="B82">
        <v>768450</v>
      </c>
      <c r="D82">
        <f t="shared" si="1"/>
        <v>198551</v>
      </c>
    </row>
    <row r="83" spans="1:4" x14ac:dyDescent="0.3">
      <c r="A83" s="1">
        <v>44485</v>
      </c>
      <c r="B83">
        <v>102685</v>
      </c>
      <c r="D83">
        <f t="shared" si="1"/>
        <v>-665765</v>
      </c>
    </row>
    <row r="84" spans="1:4" x14ac:dyDescent="0.3">
      <c r="A84" s="1">
        <v>44516</v>
      </c>
      <c r="B84">
        <v>795914</v>
      </c>
      <c r="D84">
        <f t="shared" si="1"/>
        <v>693229</v>
      </c>
    </row>
    <row r="85" spans="1:4" x14ac:dyDescent="0.3">
      <c r="A85" s="1">
        <v>44546</v>
      </c>
      <c r="B85">
        <v>60988</v>
      </c>
      <c r="D85">
        <f t="shared" si="1"/>
        <v>-734926</v>
      </c>
    </row>
    <row r="86" spans="1:4" x14ac:dyDescent="0.3">
      <c r="A86" s="1">
        <v>44213</v>
      </c>
      <c r="B86">
        <v>138230</v>
      </c>
      <c r="D86">
        <f t="shared" si="1"/>
        <v>77242</v>
      </c>
    </row>
    <row r="87" spans="1:4" x14ac:dyDescent="0.3">
      <c r="A87" s="1">
        <v>44244</v>
      </c>
      <c r="B87">
        <v>671099</v>
      </c>
      <c r="D87">
        <f t="shared" si="1"/>
        <v>532869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budget_data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Norman Chan</dc:creator>
  <cp:lastModifiedBy>Norman Chan</cp:lastModifiedBy>
  <dcterms:created xsi:type="dcterms:W3CDTF">2021-04-12T19:08:58Z</dcterms:created>
  <dcterms:modified xsi:type="dcterms:W3CDTF">2021-04-12T19:08:58Z</dcterms:modified>
</cp:coreProperties>
</file>